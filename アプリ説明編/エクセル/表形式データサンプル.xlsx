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002-APIS\00004-PC学習\git\pc-study\アプリ説明編\エクセル\"/>
    </mc:Choice>
  </mc:AlternateContent>
  <xr:revisionPtr revIDLastSave="0" documentId="13_ncr:1_{387EE45F-4991-4BD5-A3F0-04BB6C1C0EFB}" xr6:coauthVersionLast="47" xr6:coauthVersionMax="47" xr10:uidLastSave="{00000000-0000-0000-0000-000000000000}"/>
  <bookViews>
    <workbookView xWindow="28680" yWindow="-120" windowWidth="29040" windowHeight="15720" activeTab="2" xr2:uid="{6906B800-342D-4AA8-B37D-E76AF351EF3B}"/>
  </bookViews>
  <sheets>
    <sheet name="Sheet5" sheetId="5" r:id="rId1"/>
    <sheet name="Sheet1" sheetId="1" r:id="rId2"/>
    <sheet name="Sheet6" sheetId="6" r:id="rId3"/>
    <sheet name="Sheet2" sheetId="2" r:id="rId4"/>
  </sheets>
  <definedNames>
    <definedName name="_xlnm._FilterDatabase" localSheetId="1" hidden="1">Sheet1!$A$3:$G$14</definedName>
    <definedName name="_xlnm._FilterDatabase" localSheetId="3" hidden="1">Sheet2!$A$1:$G$10</definedName>
    <definedName name="_xlnm._FilterDatabase" localSheetId="2" hidden="1">Sheet6!$A$23:$B$35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D15" i="1"/>
  <c r="E15" i="1"/>
  <c r="I4" i="2"/>
  <c r="I3" i="2"/>
  <c r="G15" i="1"/>
  <c r="F4" i="2"/>
  <c r="F5" i="2"/>
  <c r="F6" i="2"/>
  <c r="F7" i="2"/>
  <c r="F8" i="2"/>
  <c r="F9" i="2"/>
  <c r="F10" i="2"/>
  <c r="F3" i="2"/>
  <c r="F2" i="2"/>
  <c r="F4" i="1"/>
  <c r="F1" i="1"/>
  <c r="F5" i="1"/>
  <c r="F6" i="1"/>
  <c r="F7" i="1"/>
  <c r="F8" i="1"/>
  <c r="F9" i="1"/>
  <c r="F10" i="1"/>
  <c r="F11" i="1"/>
  <c r="F12" i="1"/>
  <c r="F13" i="1"/>
  <c r="F14" i="1"/>
  <c r="F15" i="1" l="1"/>
</calcChain>
</file>

<file path=xl/sharedStrings.xml><?xml version="1.0" encoding="utf-8"?>
<sst xmlns="http://schemas.openxmlformats.org/spreadsheetml/2006/main" count="98" uniqueCount="38">
  <si>
    <t>商品ID</t>
  </si>
  <si>
    <t>商品名</t>
  </si>
  <si>
    <t>カテゴリ</t>
  </si>
  <si>
    <t>単価</t>
  </si>
  <si>
    <t>売上数</t>
  </si>
  <si>
    <t>売上日</t>
  </si>
  <si>
    <t>ノート</t>
  </si>
  <si>
    <t>文房具</t>
  </si>
  <si>
    <t>ボールペン</t>
  </si>
  <si>
    <t>クリアファイル</t>
  </si>
  <si>
    <t>コーヒー</t>
  </si>
  <si>
    <t>飲料</t>
  </si>
  <si>
    <t>お茶</t>
  </si>
  <si>
    <t>ジュース</t>
  </si>
  <si>
    <t>食パン</t>
  </si>
  <si>
    <t>食品</t>
  </si>
  <si>
    <t>牛乳</t>
  </si>
  <si>
    <t>卵</t>
  </si>
  <si>
    <t>合計</t>
    <rPh sb="0" eb="2">
      <t>ゴウケイ</t>
    </rPh>
    <phoneticPr fontId="2"/>
  </si>
  <si>
    <t>行ラベル</t>
  </si>
  <si>
    <t>(空白)</t>
  </si>
  <si>
    <t>総計</t>
  </si>
  <si>
    <t>集計</t>
  </si>
  <si>
    <t>合計 / 売上数</t>
  </si>
  <si>
    <t>月</t>
  </si>
  <si>
    <t>売上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</si>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</sst>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yyyy/m/d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[表形式データサンプル.xlsx]Sheet5!ピボットテーブル9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Sheet5!$A$2:$A$16</c:f>
              <c:multiLvlStrCache>
                <c:ptCount val="10"/>
                <c:lvl>
                  <c:pt idx="0">
                    <c:v>お茶</c:v>
                  </c:pt>
                  <c:pt idx="1">
                    <c:v>コーヒー</c:v>
                  </c:pt>
                  <c:pt idx="2">
                    <c:v>ジュース</c:v>
                  </c:pt>
                  <c:pt idx="3">
                    <c:v>牛乳</c:v>
                  </c:pt>
                  <c:pt idx="4">
                    <c:v>食パン</c:v>
                  </c:pt>
                  <c:pt idx="5">
                    <c:v>卵</c:v>
                  </c:pt>
                  <c:pt idx="6">
                    <c:v>クリアファイル</c:v>
                  </c:pt>
                  <c:pt idx="7">
                    <c:v>ノート</c:v>
                  </c:pt>
                  <c:pt idx="8">
                    <c:v>ボールペン</c:v>
                  </c:pt>
                  <c:pt idx="9">
                    <c:v>(空白)</c:v>
                  </c:pt>
                </c:lvl>
                <c:lvl>
                  <c:pt idx="0">
                    <c:v>飲料</c:v>
                  </c:pt>
                  <c:pt idx="3">
                    <c:v>食品</c:v>
                  </c:pt>
                  <c:pt idx="6">
                    <c:v>文房具</c:v>
                  </c:pt>
                  <c:pt idx="9">
                    <c:v>(空白)</c:v>
                  </c:pt>
                </c:lvl>
              </c:multiLvlStrCache>
            </c:multiLvlStrRef>
          </c:cat>
          <c:val>
            <c:numRef>
              <c:f>Sheet5!$B$2:$B$16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18</c:v>
                </c:pt>
                <c:pt idx="3">
                  <c:v>10</c:v>
                </c:pt>
                <c:pt idx="4">
                  <c:v>12</c:v>
                </c:pt>
                <c:pt idx="5">
                  <c:v>8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8-4B7D-8860-1A41A8C7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125136"/>
        <c:axId val="1700125616"/>
      </c:barChart>
      <c:catAx>
        <c:axId val="170012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0125616"/>
        <c:crosses val="autoZero"/>
        <c:auto val="1"/>
        <c:lblAlgn val="ctr"/>
        <c:lblOffset val="100"/>
        <c:noMultiLvlLbl val="0"/>
      </c:catAx>
      <c:valAx>
        <c:axId val="170012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012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Sheet1!$C$4:$C$14</c:f>
              <c:strCache>
                <c:ptCount val="10"/>
                <c:pt idx="0">
                  <c:v>食品</c:v>
                </c:pt>
                <c:pt idx="1">
                  <c:v>食品</c:v>
                </c:pt>
                <c:pt idx="2">
                  <c:v>食品</c:v>
                </c:pt>
                <c:pt idx="3">
                  <c:v>飲料</c:v>
                </c:pt>
                <c:pt idx="4">
                  <c:v>飲料</c:v>
                </c:pt>
                <c:pt idx="5">
                  <c:v>飲料</c:v>
                </c:pt>
                <c:pt idx="6">
                  <c:v>文房具</c:v>
                </c:pt>
                <c:pt idx="7">
                  <c:v>文房具</c:v>
                </c:pt>
                <c:pt idx="8">
                  <c:v>文房具</c:v>
                </c:pt>
                <c:pt idx="9">
                  <c:v>文房具</c:v>
                </c:pt>
              </c:strCache>
            </c:strRef>
          </c:cat>
          <c:val>
            <c:numRef>
              <c:f>Sheet1!$F$4:$F$14</c:f>
              <c:numCache>
                <c:formatCode>General</c:formatCode>
                <c:ptCount val="11"/>
                <c:pt idx="0">
                  <c:v>1760</c:v>
                </c:pt>
                <c:pt idx="1">
                  <c:v>2000</c:v>
                </c:pt>
                <c:pt idx="2">
                  <c:v>2160</c:v>
                </c:pt>
                <c:pt idx="3">
                  <c:v>2880</c:v>
                </c:pt>
                <c:pt idx="4">
                  <c:v>2600</c:v>
                </c:pt>
                <c:pt idx="5">
                  <c:v>4500</c:v>
                </c:pt>
                <c:pt idx="6">
                  <c:v>1500</c:v>
                </c:pt>
                <c:pt idx="7">
                  <c:v>3200</c:v>
                </c:pt>
                <c:pt idx="8">
                  <c:v>1800</c:v>
                </c:pt>
                <c:pt idx="9">
                  <c:v>1800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5-4DBB-BE01-F5CEFC098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88080"/>
        <c:axId val="211587120"/>
      </c:barChart>
      <c:catAx>
        <c:axId val="21158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87120"/>
        <c:crosses val="autoZero"/>
        <c:auto val="1"/>
        <c:lblAlgn val="ctr"/>
        <c:lblOffset val="100"/>
        <c:noMultiLvlLbl val="0"/>
      </c:catAx>
      <c:valAx>
        <c:axId val="2115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8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160000</c:v>
                </c:pt>
                <c:pt idx="4">
                  <c:v>155000</c:v>
                </c:pt>
                <c:pt idx="5">
                  <c:v>170000</c:v>
                </c:pt>
                <c:pt idx="6">
                  <c:v>180000</c:v>
                </c:pt>
                <c:pt idx="7">
                  <c:v>175000</c:v>
                </c:pt>
                <c:pt idx="8">
                  <c:v>165000</c:v>
                </c:pt>
                <c:pt idx="9">
                  <c:v>190000</c:v>
                </c:pt>
                <c:pt idx="10">
                  <c:v>200000</c:v>
                </c:pt>
                <c:pt idx="11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6-4D5B-9157-312DF961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953920"/>
        <c:axId val="1704953440"/>
      </c:barChart>
      <c:catAx>
        <c:axId val="17049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953440"/>
        <c:crosses val="autoZero"/>
        <c:auto val="1"/>
        <c:lblAlgn val="ctr"/>
        <c:lblOffset val="100"/>
        <c:noMultiLvlLbl val="0"/>
      </c:catAx>
      <c:valAx>
        <c:axId val="17049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95392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Sheet6!$B$23</c:f>
              <c:strCache>
                <c:ptCount val="1"/>
                <c:pt idx="0">
                  <c:v>売上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Sheet6!$A$24:$A$35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Sheet6!$B$24:$B$35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160000</c:v>
                </c:pt>
                <c:pt idx="4">
                  <c:v>155000</c:v>
                </c:pt>
                <c:pt idx="5">
                  <c:v>170000</c:v>
                </c:pt>
                <c:pt idx="6">
                  <c:v>180000</c:v>
                </c:pt>
                <c:pt idx="7">
                  <c:v>175000</c:v>
                </c:pt>
                <c:pt idx="8">
                  <c:v>165000</c:v>
                </c:pt>
                <c:pt idx="9">
                  <c:v>190000</c:v>
                </c:pt>
                <c:pt idx="10">
                  <c:v>200000</c:v>
                </c:pt>
                <c:pt idx="11">
                  <c:v>230000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B-4255-BCC4-2D9C500E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015904"/>
        <c:axId val="653016384"/>
      </c:lineChart>
      <c:catAx>
        <c:axId val="6530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016384"/>
        <c:crosses val="autoZero"/>
        <c:auto val="1"/>
        <c:lblAlgn val="ctr"/>
        <c:lblOffset val="100"/>
        <c:noMultiLvlLbl val="0"/>
      </c:catAx>
      <c:valAx>
        <c:axId val="6530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0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152399</xdr:rowOff>
    </xdr:from>
    <xdr:to>
      <xdr:col>14</xdr:col>
      <xdr:colOff>523875</xdr:colOff>
      <xdr:row>23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27D682-F323-99D2-F399-9DA3F449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513522</xdr:colOff>
      <xdr:row>3</xdr:row>
      <xdr:rowOff>53009</xdr:rowOff>
    </xdr:from>
    <xdr:to>
      <xdr:col>14</xdr:col>
      <xdr:colOff>273326</xdr:colOff>
      <xdr:row>14</xdr:row>
      <xdr:rowOff>154057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5FCEF50-D9B0-9BF6-DB48-BA3D2ADA3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385761</xdr:colOff>
      <xdr:row>1</xdr:row>
      <xdr:rowOff>95250</xdr:rowOff>
    </xdr:from>
    <xdr:to>
      <xdr:col>11</xdr:col>
      <xdr:colOff>295274</xdr:colOff>
      <xdr:row>17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FD9D57-3778-231C-692D-D21A64CF0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23</xdr:row>
      <xdr:rowOff>104775</xdr:rowOff>
    </xdr:from>
    <xdr:to>
      <xdr:col>9</xdr:col>
      <xdr:colOff>542925</xdr:colOff>
      <xdr:row>34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6F1E4D-4A6A-4F11-2F01-206AD9E7B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江口太悟" refreshedDate="46140.557895370373" createdVersion="8" refreshedVersion="8" minRefreshableVersion="3" recordCount="11" xr:uid="{0DCB96AE-FCDC-4537-8B3D-B9327E627362}">
  <cacheSource type="worksheet">
    <worksheetSource name="テーブル3"/>
  </cacheSource>
  <cacheFields count="7">
    <cacheField name="商品ID" numFmtId="0">
      <sharedItems containsSemiMixedTypes="0" containsString="0" containsNumber="1" containsInteger="1" minValue="101" maxValue="303"/>
    </cacheField>
    <cacheField name="商品名" numFmtId="0">
      <sharedItems containsBlank="1" count="10">
        <s v="卵"/>
        <s v="牛乳"/>
        <s v="食パン"/>
        <s v="ジュース"/>
        <s v="お茶"/>
        <s v="コーヒー"/>
        <s v="クリアファイル"/>
        <s v="ボールペン"/>
        <s v="ノート"/>
        <m/>
      </sharedItems>
    </cacheField>
    <cacheField name="カテゴリ" numFmtId="0">
      <sharedItems containsBlank="1" count="4">
        <s v="食品"/>
        <s v="飲料"/>
        <s v="文房具"/>
        <m/>
      </sharedItems>
    </cacheField>
    <cacheField name="単価" numFmtId="0">
      <sharedItems containsString="0" containsBlank="1" containsNumber="1" containsInteger="1" minValue="60" maxValue="220"/>
    </cacheField>
    <cacheField name="売上数" numFmtId="0">
      <sharedItems containsString="0" containsBlank="1" containsNumber="1" containsInteger="1" minValue="8" maxValue="40"/>
    </cacheField>
    <cacheField name="合計" numFmtId="0">
      <sharedItems containsSemiMixedTypes="0" containsString="0" containsNumber="1" containsInteger="1" minValue="0" maxValue="4500"/>
    </cacheField>
    <cacheField name="売上日" numFmtId="14">
      <sharedItems containsNonDate="0" containsDate="1" containsString="0" containsBlank="1" minDate="2024-04-01T00:00:00" maxDate="2024-04-04T00:00:00" count="4">
        <d v="2024-04-03T00:00:00"/>
        <d v="2024-04-02T00:00:00"/>
        <d v="2024-04-0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303"/>
    <x v="0"/>
    <x v="0"/>
    <n v="220"/>
    <n v="8"/>
    <n v="1760"/>
    <x v="0"/>
  </r>
  <r>
    <n v="302"/>
    <x v="1"/>
    <x v="0"/>
    <n v="200"/>
    <n v="10"/>
    <n v="2000"/>
    <x v="1"/>
  </r>
  <r>
    <n v="301"/>
    <x v="2"/>
    <x v="0"/>
    <n v="180"/>
    <n v="12"/>
    <n v="2160"/>
    <x v="2"/>
  </r>
  <r>
    <n v="203"/>
    <x v="3"/>
    <x v="1"/>
    <n v="160"/>
    <n v="18"/>
    <n v="2880"/>
    <x v="0"/>
  </r>
  <r>
    <n v="202"/>
    <x v="4"/>
    <x v="1"/>
    <n v="130"/>
    <n v="20"/>
    <n v="2600"/>
    <x v="1"/>
  </r>
  <r>
    <n v="201"/>
    <x v="5"/>
    <x v="1"/>
    <n v="150"/>
    <n v="30"/>
    <n v="4500"/>
    <x v="2"/>
  </r>
  <r>
    <n v="103"/>
    <x v="6"/>
    <x v="2"/>
    <n v="60"/>
    <n v="25"/>
    <n v="1500"/>
    <x v="0"/>
  </r>
  <r>
    <n v="102"/>
    <x v="7"/>
    <x v="2"/>
    <n v="80"/>
    <n v="40"/>
    <n v="3200"/>
    <x v="1"/>
  </r>
  <r>
    <n v="101"/>
    <x v="8"/>
    <x v="2"/>
    <n v="120"/>
    <n v="15"/>
    <n v="1800"/>
    <x v="2"/>
  </r>
  <r>
    <n v="101"/>
    <x v="8"/>
    <x v="2"/>
    <n v="120"/>
    <n v="15"/>
    <n v="1800"/>
    <x v="2"/>
  </r>
  <r>
    <n v="104"/>
    <x v="9"/>
    <x v="3"/>
    <m/>
    <m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36F66-D7B4-4C16-A3C7-56D0C95771D7}" name="ピボットテーブル9" cacheId="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B16" firstHeaderRow="1" firstDataRow="1" firstDataCol="1"/>
  <pivotFields count="7">
    <pivotField showAll="0"/>
    <pivotField axis="axisRow" showAll="0">
      <items count="11">
        <item x="4"/>
        <item x="6"/>
        <item x="5"/>
        <item x="3"/>
        <item x="8"/>
        <item x="7"/>
        <item x="1"/>
        <item x="2"/>
        <item x="0"/>
        <item x="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</pivotFields>
  <rowFields count="2">
    <field x="2"/>
    <field x="1"/>
  </rowFields>
  <rowItems count="15">
    <i>
      <x/>
    </i>
    <i r="1">
      <x/>
    </i>
    <i r="1">
      <x v="2"/>
    </i>
    <i r="1">
      <x v="3"/>
    </i>
    <i>
      <x v="1"/>
    </i>
    <i r="1">
      <x v="6"/>
    </i>
    <i r="1">
      <x v="7"/>
    </i>
    <i r="1">
      <x v="8"/>
    </i>
    <i>
      <x v="2"/>
    </i>
    <i r="1">
      <x v="1"/>
    </i>
    <i r="1">
      <x v="4"/>
    </i>
    <i r="1">
      <x v="5"/>
    </i>
    <i>
      <x v="3"/>
    </i>
    <i r="1">
      <x v="9"/>
    </i>
    <i t="grand">
      <x/>
    </i>
  </rowItems>
  <colItems count="1">
    <i/>
  </colItems>
  <dataFields count="1">
    <dataField name="合計 / 売上数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6FCA5C-0837-4505-818D-49FA6E805006}" name="テーブル3" displayName="テーブル3" ref="A3:G15" totalsRowCount="1" headerRowDxfId="19" dataDxfId="18">
  <autoFilter ref="A3:G14" xr:uid="{606FCA5C-0837-4505-818D-49FA6E805006}"/>
  <tableColumns count="7">
    <tableColumn id="1" xr3:uid="{9681031A-B116-4205-BEF7-D320401EEC0E}" name="商品ID" totalsRowLabel="集計" dataDxfId="17" totalsRowDxfId="7"/>
    <tableColumn id="2" xr3:uid="{C176661C-0C4A-436B-81E4-6BA3F30B1140}" name="商品名" dataDxfId="16" totalsRowDxfId="8"/>
    <tableColumn id="3" xr3:uid="{9C71F680-D53D-4C99-B929-1FDB2E67B7A1}" name="カテゴリ" dataDxfId="15" totalsRowDxfId="9"/>
    <tableColumn id="4" xr3:uid="{81F50112-55DB-4B9C-82A8-41045887F356}" name="単価" totalsRowFunction="max" dataDxfId="14" totalsRowDxfId="5"/>
    <tableColumn id="5" xr3:uid="{FC3F1323-7520-4AC9-83D3-2998B9AC38A0}" name="売上数" totalsRowFunction="min" dataDxfId="13" totalsRowDxfId="6"/>
    <tableColumn id="7" xr3:uid="{C843AF31-3684-47B1-9A8F-F77DDCB93FB6}" name="合計" totalsRowFunction="sum" dataDxfId="11" totalsRowDxfId="4">
      <calculatedColumnFormula>テーブル3[[#This Row],[単価]]*テーブル3[[#This Row],[売上数]]</calculatedColumnFormula>
    </tableColumn>
    <tableColumn id="6" xr3:uid="{5B8387EA-EDD9-401F-9952-5659AB32D992}" name="売上日" totalsRowFunction="count" dataDxfId="12" totalsRowDxfId="1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E4B768-67E2-4983-9E4A-C8C33ED8A6F1}" name="テーブル4" displayName="テーブル4" ref="A3:B15" totalsRowShown="0" headerRowDxfId="0" dataDxfId="1">
  <autoFilter ref="A3:B15" xr:uid="{56E4B768-67E2-4983-9E4A-C8C33ED8A6F1}"/>
  <tableColumns count="2">
    <tableColumn id="1" xr3:uid="{CE956DED-6200-498F-9383-6C6571E17692}" name="月" dataDxfId="3"/>
    <tableColumn id="2" xr3:uid="{10EB4159-421B-4199-92B9-E99076D38CA3}" name="売上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3062-F87F-41F1-B6B3-318058348DE1}">
  <dimension ref="A1:B16"/>
  <sheetViews>
    <sheetView workbookViewId="0">
      <selection activeCell="A2" sqref="A2"/>
    </sheetView>
  </sheetViews>
  <sheetFormatPr defaultRowHeight="18.75" x14ac:dyDescent="0.4"/>
  <cols>
    <col min="1" max="1" width="19.375" bestFit="1" customWidth="1"/>
    <col min="2" max="2" width="13.375" bestFit="1" customWidth="1"/>
    <col min="3" max="3" width="11.375" bestFit="1" customWidth="1"/>
  </cols>
  <sheetData>
    <row r="1" spans="1:2" x14ac:dyDescent="0.4">
      <c r="A1" s="4" t="s">
        <v>19</v>
      </c>
      <c r="B1" t="s">
        <v>23</v>
      </c>
    </row>
    <row r="2" spans="1:2" x14ac:dyDescent="0.4">
      <c r="A2" s="5" t="s">
        <v>11</v>
      </c>
      <c r="B2" s="6">
        <v>68</v>
      </c>
    </row>
    <row r="3" spans="1:2" x14ac:dyDescent="0.4">
      <c r="A3" s="7" t="s">
        <v>12</v>
      </c>
      <c r="B3" s="6">
        <v>20</v>
      </c>
    </row>
    <row r="4" spans="1:2" x14ac:dyDescent="0.4">
      <c r="A4" s="7" t="s">
        <v>10</v>
      </c>
      <c r="B4" s="6">
        <v>30</v>
      </c>
    </row>
    <row r="5" spans="1:2" x14ac:dyDescent="0.4">
      <c r="A5" s="7" t="s">
        <v>13</v>
      </c>
      <c r="B5" s="6">
        <v>18</v>
      </c>
    </row>
    <row r="6" spans="1:2" x14ac:dyDescent="0.4">
      <c r="A6" s="5" t="s">
        <v>15</v>
      </c>
      <c r="B6" s="6">
        <v>30</v>
      </c>
    </row>
    <row r="7" spans="1:2" x14ac:dyDescent="0.4">
      <c r="A7" s="7" t="s">
        <v>16</v>
      </c>
      <c r="B7" s="6">
        <v>10</v>
      </c>
    </row>
    <row r="8" spans="1:2" x14ac:dyDescent="0.4">
      <c r="A8" s="7" t="s">
        <v>14</v>
      </c>
      <c r="B8" s="6">
        <v>12</v>
      </c>
    </row>
    <row r="9" spans="1:2" x14ac:dyDescent="0.4">
      <c r="A9" s="7" t="s">
        <v>17</v>
      </c>
      <c r="B9" s="6">
        <v>8</v>
      </c>
    </row>
    <row r="10" spans="1:2" x14ac:dyDescent="0.4">
      <c r="A10" s="5" t="s">
        <v>7</v>
      </c>
      <c r="B10" s="6">
        <v>95</v>
      </c>
    </row>
    <row r="11" spans="1:2" x14ac:dyDescent="0.4">
      <c r="A11" s="7" t="s">
        <v>9</v>
      </c>
      <c r="B11" s="6">
        <v>25</v>
      </c>
    </row>
    <row r="12" spans="1:2" x14ac:dyDescent="0.4">
      <c r="A12" s="7" t="s">
        <v>6</v>
      </c>
      <c r="B12" s="6">
        <v>30</v>
      </c>
    </row>
    <row r="13" spans="1:2" x14ac:dyDescent="0.4">
      <c r="A13" s="7" t="s">
        <v>8</v>
      </c>
      <c r="B13" s="6">
        <v>40</v>
      </c>
    </row>
    <row r="14" spans="1:2" x14ac:dyDescent="0.4">
      <c r="A14" s="5" t="s">
        <v>20</v>
      </c>
      <c r="B14" s="6"/>
    </row>
    <row r="15" spans="1:2" x14ac:dyDescent="0.4">
      <c r="A15" s="7" t="s">
        <v>20</v>
      </c>
      <c r="B15" s="6"/>
    </row>
    <row r="16" spans="1:2" x14ac:dyDescent="0.4">
      <c r="A16" s="5" t="s">
        <v>21</v>
      </c>
      <c r="B16" s="6">
        <v>193</v>
      </c>
    </row>
  </sheetData>
  <phoneticPr fontId="2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48F8-F968-4E69-8456-8F92B1E674CB}">
  <dimension ref="A1:G15"/>
  <sheetViews>
    <sheetView zoomScale="115" zoomScaleNormal="115" workbookViewId="0">
      <selection activeCell="J17" sqref="J17"/>
    </sheetView>
  </sheetViews>
  <sheetFormatPr defaultRowHeight="18.75" x14ac:dyDescent="0.4"/>
  <cols>
    <col min="2" max="2" width="14.25" customWidth="1"/>
    <col min="3" max="3" width="9.125" customWidth="1"/>
  </cols>
  <sheetData>
    <row r="1" spans="1:7" x14ac:dyDescent="0.4">
      <c r="D1">
        <v>200</v>
      </c>
      <c r="E1">
        <v>10</v>
      </c>
      <c r="F1">
        <f>D1*E1</f>
        <v>2000</v>
      </c>
    </row>
    <row r="3" spans="1:7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18</v>
      </c>
      <c r="G3" s="1" t="s">
        <v>5</v>
      </c>
    </row>
    <row r="4" spans="1:7" x14ac:dyDescent="0.4">
      <c r="A4" s="2">
        <v>303</v>
      </c>
      <c r="B4" s="2" t="s">
        <v>17</v>
      </c>
      <c r="C4" s="2" t="s">
        <v>15</v>
      </c>
      <c r="D4" s="2">
        <v>220</v>
      </c>
      <c r="E4" s="2">
        <v>8</v>
      </c>
      <c r="F4" s="2">
        <f>テーブル3[[#This Row],[単価]]*テーブル3[[#This Row],[売上数]]</f>
        <v>1760</v>
      </c>
      <c r="G4" s="3">
        <v>45385</v>
      </c>
    </row>
    <row r="5" spans="1:7" x14ac:dyDescent="0.4">
      <c r="A5" s="2">
        <v>302</v>
      </c>
      <c r="B5" s="2" t="s">
        <v>16</v>
      </c>
      <c r="C5" s="2" t="s">
        <v>15</v>
      </c>
      <c r="D5" s="2">
        <v>200</v>
      </c>
      <c r="E5" s="2">
        <v>10</v>
      </c>
      <c r="F5" s="2">
        <f>テーブル3[[#This Row],[単価]]*テーブル3[[#This Row],[売上数]]</f>
        <v>2000</v>
      </c>
      <c r="G5" s="3">
        <v>45384</v>
      </c>
    </row>
    <row r="6" spans="1:7" x14ac:dyDescent="0.4">
      <c r="A6" s="2">
        <v>301</v>
      </c>
      <c r="B6" s="2" t="s">
        <v>14</v>
      </c>
      <c r="C6" s="2" t="s">
        <v>15</v>
      </c>
      <c r="D6" s="2">
        <v>180</v>
      </c>
      <c r="E6" s="2">
        <v>12</v>
      </c>
      <c r="F6" s="2">
        <f>テーブル3[[#This Row],[単価]]*テーブル3[[#This Row],[売上数]]</f>
        <v>2160</v>
      </c>
      <c r="G6" s="3">
        <v>45383</v>
      </c>
    </row>
    <row r="7" spans="1:7" x14ac:dyDescent="0.4">
      <c r="A7" s="2">
        <v>203</v>
      </c>
      <c r="B7" s="2" t="s">
        <v>13</v>
      </c>
      <c r="C7" s="2" t="s">
        <v>11</v>
      </c>
      <c r="D7" s="2">
        <v>160</v>
      </c>
      <c r="E7" s="2">
        <v>18</v>
      </c>
      <c r="F7" s="2">
        <f>テーブル3[[#This Row],[単価]]*テーブル3[[#This Row],[売上数]]</f>
        <v>2880</v>
      </c>
      <c r="G7" s="3">
        <v>45385</v>
      </c>
    </row>
    <row r="8" spans="1:7" x14ac:dyDescent="0.4">
      <c r="A8" s="2">
        <v>202</v>
      </c>
      <c r="B8" s="2" t="s">
        <v>12</v>
      </c>
      <c r="C8" s="2" t="s">
        <v>11</v>
      </c>
      <c r="D8" s="2">
        <v>130</v>
      </c>
      <c r="E8" s="2">
        <v>20</v>
      </c>
      <c r="F8" s="2">
        <f>テーブル3[[#This Row],[単価]]*テーブル3[[#This Row],[売上数]]</f>
        <v>2600</v>
      </c>
      <c r="G8" s="3">
        <v>45384</v>
      </c>
    </row>
    <row r="9" spans="1:7" x14ac:dyDescent="0.4">
      <c r="A9" s="2">
        <v>201</v>
      </c>
      <c r="B9" s="2" t="s">
        <v>10</v>
      </c>
      <c r="C9" s="2" t="s">
        <v>11</v>
      </c>
      <c r="D9" s="2">
        <v>150</v>
      </c>
      <c r="E9" s="2">
        <v>30</v>
      </c>
      <c r="F9" s="2">
        <f>テーブル3[[#This Row],[単価]]*テーブル3[[#This Row],[売上数]]</f>
        <v>4500</v>
      </c>
      <c r="G9" s="3">
        <v>45383</v>
      </c>
    </row>
    <row r="10" spans="1:7" x14ac:dyDescent="0.4">
      <c r="A10" s="2">
        <v>103</v>
      </c>
      <c r="B10" s="2" t="s">
        <v>9</v>
      </c>
      <c r="C10" s="2" t="s">
        <v>7</v>
      </c>
      <c r="D10" s="2">
        <v>60</v>
      </c>
      <c r="E10" s="2">
        <v>25</v>
      </c>
      <c r="F10" s="2">
        <f>テーブル3[[#This Row],[単価]]*テーブル3[[#This Row],[売上数]]</f>
        <v>1500</v>
      </c>
      <c r="G10" s="3">
        <v>45385</v>
      </c>
    </row>
    <row r="11" spans="1:7" x14ac:dyDescent="0.4">
      <c r="A11" s="2">
        <v>102</v>
      </c>
      <c r="B11" s="2" t="s">
        <v>8</v>
      </c>
      <c r="C11" s="2" t="s">
        <v>7</v>
      </c>
      <c r="D11" s="2">
        <v>80</v>
      </c>
      <c r="E11" s="2">
        <v>40</v>
      </c>
      <c r="F11" s="2">
        <f>テーブル3[[#This Row],[単価]]*テーブル3[[#This Row],[売上数]]</f>
        <v>3200</v>
      </c>
      <c r="G11" s="3">
        <v>45384</v>
      </c>
    </row>
    <row r="12" spans="1:7" x14ac:dyDescent="0.4">
      <c r="A12" s="2">
        <v>101</v>
      </c>
      <c r="B12" s="2" t="s">
        <v>6</v>
      </c>
      <c r="C12" s="2" t="s">
        <v>7</v>
      </c>
      <c r="D12" s="2">
        <v>120</v>
      </c>
      <c r="E12" s="2">
        <v>15</v>
      </c>
      <c r="F12" s="2">
        <f>テーブル3[[#This Row],[単価]]*テーブル3[[#This Row],[売上数]]</f>
        <v>1800</v>
      </c>
      <c r="G12" s="3">
        <v>45383</v>
      </c>
    </row>
    <row r="13" spans="1:7" x14ac:dyDescent="0.4">
      <c r="A13" s="2">
        <v>101</v>
      </c>
      <c r="B13" s="2" t="s">
        <v>6</v>
      </c>
      <c r="C13" s="2" t="s">
        <v>7</v>
      </c>
      <c r="D13" s="2">
        <v>120</v>
      </c>
      <c r="E13" s="2">
        <v>15</v>
      </c>
      <c r="F13" s="2">
        <f>テーブル3[[#This Row],[単価]]*テーブル3[[#This Row],[売上数]]</f>
        <v>1800</v>
      </c>
      <c r="G13" s="3">
        <v>45383</v>
      </c>
    </row>
    <row r="14" spans="1:7" x14ac:dyDescent="0.4">
      <c r="A14" s="2">
        <v>104</v>
      </c>
      <c r="B14" s="2"/>
      <c r="C14" s="2"/>
      <c r="D14" s="2"/>
      <c r="E14" s="2"/>
      <c r="F14" s="2">
        <f>テーブル3[[#This Row],[単価]]*テーブル3[[#This Row],[売上数]]</f>
        <v>0</v>
      </c>
      <c r="G14" s="3"/>
    </row>
    <row r="15" spans="1:7" x14ac:dyDescent="0.4">
      <c r="A15" s="2" t="s">
        <v>22</v>
      </c>
      <c r="B15" s="2"/>
      <c r="C15" s="2"/>
      <c r="D15" s="2">
        <f>SUBTOTAL(104,テーブル3[単価])</f>
        <v>220</v>
      </c>
      <c r="E15" s="2">
        <f>SUBTOTAL(105,テーブル3[売上数])</f>
        <v>8</v>
      </c>
      <c r="F15" s="2">
        <f>SUBTOTAL(109,テーブル3[合計])</f>
        <v>24200</v>
      </c>
      <c r="G15" s="2">
        <f>SUBTOTAL(103,テーブル3[売上日])</f>
        <v>10</v>
      </c>
    </row>
  </sheetData>
  <sortState xmlns:xlrd2="http://schemas.microsoft.com/office/spreadsheetml/2017/richdata2" ref="A4:G12">
    <sortCondition descending="1" ref="A4:A12"/>
  </sortState>
  <phoneticPr fontId="2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2B4C-B5CC-4319-8E57-3653ABE6E82A}">
  <dimension ref="A3:B35"/>
  <sheetViews>
    <sheetView tabSelected="1" workbookViewId="0">
      <selection activeCell="L22" sqref="L22"/>
    </sheetView>
  </sheetViews>
  <sheetFormatPr defaultRowHeight="18.75" x14ac:dyDescent="0.4"/>
  <sheetData>
    <row r="3" spans="1:2" x14ac:dyDescent="0.4">
      <c r="A3" s="1" t="s">
        <v>24</v>
      </c>
      <c r="B3" s="1" t="s">
        <v>25</v>
      </c>
    </row>
    <row r="4" spans="1:2" x14ac:dyDescent="0.4">
      <c r="A4" s="2" t="s">
        <v>26</v>
      </c>
      <c r="B4" s="2">
        <v>120000</v>
      </c>
    </row>
    <row r="5" spans="1:2" x14ac:dyDescent="0.4">
      <c r="A5" s="2" t="s">
        <v>27</v>
      </c>
      <c r="B5" s="2">
        <v>135000</v>
      </c>
    </row>
    <row r="6" spans="1:2" x14ac:dyDescent="0.4">
      <c r="A6" s="2" t="s">
        <v>28</v>
      </c>
      <c r="B6" s="2">
        <v>150000</v>
      </c>
    </row>
    <row r="7" spans="1:2" x14ac:dyDescent="0.4">
      <c r="A7" s="2" t="s">
        <v>29</v>
      </c>
      <c r="B7" s="2">
        <v>160000</v>
      </c>
    </row>
    <row r="8" spans="1:2" x14ac:dyDescent="0.4">
      <c r="A8" s="2" t="s">
        <v>30</v>
      </c>
      <c r="B8" s="2">
        <v>155000</v>
      </c>
    </row>
    <row r="9" spans="1:2" x14ac:dyDescent="0.4">
      <c r="A9" s="2" t="s">
        <v>31</v>
      </c>
      <c r="B9" s="2">
        <v>170000</v>
      </c>
    </row>
    <row r="10" spans="1:2" x14ac:dyDescent="0.4">
      <c r="A10" s="2" t="s">
        <v>32</v>
      </c>
      <c r="B10" s="2">
        <v>180000</v>
      </c>
    </row>
    <row r="11" spans="1:2" x14ac:dyDescent="0.4">
      <c r="A11" s="2" t="s">
        <v>33</v>
      </c>
      <c r="B11" s="2">
        <v>175000</v>
      </c>
    </row>
    <row r="12" spans="1:2" x14ac:dyDescent="0.4">
      <c r="A12" s="2" t="s">
        <v>34</v>
      </c>
      <c r="B12" s="2">
        <v>165000</v>
      </c>
    </row>
    <row r="13" spans="1:2" x14ac:dyDescent="0.4">
      <c r="A13" s="2" t="s">
        <v>35</v>
      </c>
      <c r="B13" s="2">
        <v>190000</v>
      </c>
    </row>
    <row r="14" spans="1:2" x14ac:dyDescent="0.4">
      <c r="A14" s="2" t="s">
        <v>36</v>
      </c>
      <c r="B14" s="2">
        <v>200000</v>
      </c>
    </row>
    <row r="15" spans="1:2" x14ac:dyDescent="0.4">
      <c r="A15" s="2" t="s">
        <v>37</v>
      </c>
      <c r="B15" s="2">
        <v>230000</v>
      </c>
    </row>
    <row r="23" spans="1:2" x14ac:dyDescent="0.4">
      <c r="A23" t="s">
        <v>24</v>
      </c>
      <c r="B23" t="s">
        <v>25</v>
      </c>
    </row>
    <row r="24" spans="1:2" x14ac:dyDescent="0.4">
      <c r="A24" t="s">
        <v>26</v>
      </c>
      <c r="B24">
        <v>120000</v>
      </c>
    </row>
    <row r="25" spans="1:2" x14ac:dyDescent="0.4">
      <c r="A25" t="s">
        <v>27</v>
      </c>
      <c r="B25">
        <v>135000</v>
      </c>
    </row>
    <row r="26" spans="1:2" x14ac:dyDescent="0.4">
      <c r="A26" t="s">
        <v>28</v>
      </c>
      <c r="B26">
        <v>150000</v>
      </c>
    </row>
    <row r="27" spans="1:2" x14ac:dyDescent="0.4">
      <c r="A27" t="s">
        <v>29</v>
      </c>
      <c r="B27">
        <v>160000</v>
      </c>
    </row>
    <row r="28" spans="1:2" x14ac:dyDescent="0.4">
      <c r="A28" t="s">
        <v>30</v>
      </c>
      <c r="B28">
        <v>155000</v>
      </c>
    </row>
    <row r="29" spans="1:2" x14ac:dyDescent="0.4">
      <c r="A29" t="s">
        <v>31</v>
      </c>
      <c r="B29">
        <v>170000</v>
      </c>
    </row>
    <row r="30" spans="1:2" x14ac:dyDescent="0.4">
      <c r="A30" t="s">
        <v>32</v>
      </c>
      <c r="B30">
        <v>180000</v>
      </c>
    </row>
    <row r="31" spans="1:2" x14ac:dyDescent="0.4">
      <c r="A31" t="s">
        <v>33</v>
      </c>
      <c r="B31">
        <v>175000</v>
      </c>
    </row>
    <row r="32" spans="1:2" x14ac:dyDescent="0.4">
      <c r="A32" t="s">
        <v>34</v>
      </c>
      <c r="B32">
        <v>165000</v>
      </c>
    </row>
    <row r="33" spans="1:2" x14ac:dyDescent="0.4">
      <c r="A33" t="s">
        <v>35</v>
      </c>
      <c r="B33">
        <v>190000</v>
      </c>
    </row>
    <row r="34" spans="1:2" x14ac:dyDescent="0.4">
      <c r="A34" t="s">
        <v>36</v>
      </c>
      <c r="B34">
        <v>200000</v>
      </c>
    </row>
    <row r="35" spans="1:2" x14ac:dyDescent="0.4">
      <c r="A35" t="s">
        <v>37</v>
      </c>
      <c r="B35">
        <v>230000</v>
      </c>
    </row>
  </sheetData>
  <autoFilter ref="A23:B35" xr:uid="{9D4B2B4C-B5CC-4319-8E57-3653ABE6E82A}"/>
  <phoneticPr fontId="2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FF40-0E10-4012-85C3-6C2C7C82B928}">
  <dimension ref="A1:I10"/>
  <sheetViews>
    <sheetView workbookViewId="0">
      <selection activeCell="I5" sqref="I5"/>
    </sheetView>
  </sheetViews>
  <sheetFormatPr defaultRowHeight="18.75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</row>
    <row r="2" spans="1:9" x14ac:dyDescent="0.4">
      <c r="A2" s="2">
        <v>303</v>
      </c>
      <c r="B2" s="2" t="s">
        <v>17</v>
      </c>
      <c r="C2" s="2" t="s">
        <v>15</v>
      </c>
      <c r="D2" s="2">
        <v>220</v>
      </c>
      <c r="E2" s="2">
        <v>8</v>
      </c>
      <c r="F2" s="2">
        <f>D2*E2</f>
        <v>1760</v>
      </c>
      <c r="G2" s="3">
        <v>45385</v>
      </c>
      <c r="I2">
        <f>AVERAGE(D2:D10)</f>
        <v>144.44444444444446</v>
      </c>
    </row>
    <row r="3" spans="1:9" x14ac:dyDescent="0.4">
      <c r="A3" s="2">
        <v>302</v>
      </c>
      <c r="B3" s="2" t="s">
        <v>16</v>
      </c>
      <c r="C3" s="2" t="s">
        <v>15</v>
      </c>
      <c r="D3" s="2">
        <v>200</v>
      </c>
      <c r="E3" s="2">
        <v>10</v>
      </c>
      <c r="F3" s="2">
        <f>D3*E3</f>
        <v>2000</v>
      </c>
      <c r="G3" s="3">
        <v>45384</v>
      </c>
      <c r="I3">
        <f>MAX(D2:D10)</f>
        <v>220</v>
      </c>
    </row>
    <row r="4" spans="1:9" x14ac:dyDescent="0.4">
      <c r="A4" s="2">
        <v>301</v>
      </c>
      <c r="B4" s="2" t="s">
        <v>14</v>
      </c>
      <c r="C4" s="2" t="s">
        <v>15</v>
      </c>
      <c r="D4" s="2">
        <v>180</v>
      </c>
      <c r="E4" s="2">
        <v>12</v>
      </c>
      <c r="F4" s="2">
        <f t="shared" ref="F4:F10" si="0">D4*E4</f>
        <v>2160</v>
      </c>
      <c r="G4" s="3">
        <v>45383</v>
      </c>
      <c r="I4">
        <f>MIN(D2:D10)</f>
        <v>60</v>
      </c>
    </row>
    <row r="5" spans="1:9" x14ac:dyDescent="0.4">
      <c r="A5" s="2">
        <v>203</v>
      </c>
      <c r="B5" s="2" t="s">
        <v>13</v>
      </c>
      <c r="C5" s="2" t="s">
        <v>11</v>
      </c>
      <c r="D5" s="2">
        <v>160</v>
      </c>
      <c r="E5" s="2">
        <v>18</v>
      </c>
      <c r="F5" s="2">
        <f t="shared" si="0"/>
        <v>2880</v>
      </c>
      <c r="G5" s="3">
        <v>45385</v>
      </c>
    </row>
    <row r="6" spans="1:9" x14ac:dyDescent="0.4">
      <c r="A6" s="2">
        <v>202</v>
      </c>
      <c r="B6" s="2" t="s">
        <v>12</v>
      </c>
      <c r="C6" s="2" t="s">
        <v>11</v>
      </c>
      <c r="D6" s="2">
        <v>130</v>
      </c>
      <c r="E6" s="2">
        <v>20</v>
      </c>
      <c r="F6" s="2">
        <f t="shared" si="0"/>
        <v>2600</v>
      </c>
      <c r="G6" s="3">
        <v>45384</v>
      </c>
    </row>
    <row r="7" spans="1:9" x14ac:dyDescent="0.4">
      <c r="A7" s="2">
        <v>201</v>
      </c>
      <c r="B7" s="2" t="s">
        <v>10</v>
      </c>
      <c r="C7" s="2" t="s">
        <v>11</v>
      </c>
      <c r="D7" s="2">
        <v>150</v>
      </c>
      <c r="E7" s="2">
        <v>30</v>
      </c>
      <c r="F7" s="2">
        <f t="shared" si="0"/>
        <v>4500</v>
      </c>
      <c r="G7" s="3">
        <v>45383</v>
      </c>
    </row>
    <row r="8" spans="1:9" ht="37.5" x14ac:dyDescent="0.4">
      <c r="A8" s="2">
        <v>103</v>
      </c>
      <c r="B8" s="2" t="s">
        <v>9</v>
      </c>
      <c r="C8" s="2" t="s">
        <v>7</v>
      </c>
      <c r="D8" s="2">
        <v>60</v>
      </c>
      <c r="E8" s="2">
        <v>25</v>
      </c>
      <c r="F8" s="2">
        <f t="shared" si="0"/>
        <v>1500</v>
      </c>
      <c r="G8" s="3">
        <v>45385</v>
      </c>
    </row>
    <row r="9" spans="1:9" ht="37.5" x14ac:dyDescent="0.4">
      <c r="A9" s="2">
        <v>102</v>
      </c>
      <c r="B9" s="2" t="s">
        <v>8</v>
      </c>
      <c r="C9" s="2" t="s">
        <v>7</v>
      </c>
      <c r="D9" s="2">
        <v>80</v>
      </c>
      <c r="E9" s="2">
        <v>40</v>
      </c>
      <c r="F9" s="2">
        <f t="shared" si="0"/>
        <v>3200</v>
      </c>
      <c r="G9" s="3">
        <v>45384</v>
      </c>
    </row>
    <row r="10" spans="1:9" x14ac:dyDescent="0.4">
      <c r="A10" s="2">
        <v>101</v>
      </c>
      <c r="B10" s="2" t="s">
        <v>6</v>
      </c>
      <c r="C10" s="2" t="s">
        <v>7</v>
      </c>
      <c r="D10" s="2">
        <v>120</v>
      </c>
      <c r="E10" s="2">
        <v>15</v>
      </c>
      <c r="F10" s="2">
        <f t="shared" si="0"/>
        <v>1800</v>
      </c>
      <c r="G10" s="3">
        <v>45383</v>
      </c>
    </row>
  </sheetData>
  <autoFilter ref="A1:G10" xr:uid="{86D7FF40-0E10-4012-85C3-6C2C7C82B928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太悟 江口</dc:creator>
  <cp:lastModifiedBy>太悟 江口</cp:lastModifiedBy>
  <dcterms:created xsi:type="dcterms:W3CDTF">2026-04-27T00:26:37Z</dcterms:created>
  <dcterms:modified xsi:type="dcterms:W3CDTF">2026-04-28T05:23:38Z</dcterms:modified>
</cp:coreProperties>
</file>